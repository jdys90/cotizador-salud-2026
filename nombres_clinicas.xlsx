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F72F6CE-60CC-4897-90EB-D7CD1932171C}" xr6:coauthVersionLast="47" xr6:coauthVersionMax="47" xr10:uidLastSave="{00000000-0000-0000-0000-000000000000}"/>
  <bookViews>
    <workbookView xWindow="0" yWindow="0" windowWidth="14400" windowHeight="15600" xr2:uid="{69A46BA3-973E-4AFF-B553-DD9B5221D320}"/>
  </bookViews>
  <sheets>
    <sheet name="Hoja1" sheetId="1" r:id="rId1"/>
  </sheets>
  <definedNames>
    <definedName name="_xlnm._FilterDatabase" localSheetId="0" hidden="1">Hoja1!$A$1:$E$96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7" i="1" l="1"/>
  <c r="D96" i="1"/>
  <c r="D11" i="1"/>
  <c r="D39" i="1"/>
  <c r="D28" i="1"/>
  <c r="D87" i="1"/>
  <c r="D44" i="1"/>
  <c r="D72" i="1"/>
  <c r="D94" i="1"/>
  <c r="D89" i="1"/>
  <c r="D56" i="1"/>
  <c r="D34" i="1"/>
  <c r="D69" i="1"/>
  <c r="D14" i="1"/>
  <c r="D16" i="1"/>
  <c r="D24" i="1"/>
  <c r="D40" i="1"/>
  <c r="D41" i="1"/>
  <c r="D90" i="1"/>
  <c r="D52" i="1"/>
  <c r="D26" i="1"/>
  <c r="D29" i="1"/>
  <c r="D30" i="1"/>
  <c r="D35" i="1"/>
  <c r="D13" i="1"/>
  <c r="D27" i="1"/>
  <c r="D15" i="1"/>
  <c r="D62" i="1"/>
  <c r="D10" i="1"/>
  <c r="D12" i="1"/>
  <c r="D61" i="1"/>
  <c r="D51" i="1"/>
  <c r="D31" i="1"/>
  <c r="D23" i="1"/>
  <c r="D33" i="1"/>
  <c r="D91" i="1"/>
  <c r="D63" i="1"/>
  <c r="D74" i="1"/>
  <c r="D85" i="1"/>
  <c r="D71" i="1"/>
  <c r="D78" i="1"/>
  <c r="D22" i="1"/>
  <c r="D79" i="1"/>
  <c r="D80" i="1"/>
  <c r="D32" i="1"/>
  <c r="D84" i="1"/>
  <c r="D57" i="1"/>
  <c r="D5" i="1"/>
  <c r="D6" i="1"/>
  <c r="D67" i="1"/>
  <c r="D68" i="1"/>
  <c r="D55" i="1"/>
  <c r="D21" i="1"/>
  <c r="D81" i="1"/>
  <c r="D82" i="1"/>
  <c r="D83" i="1"/>
  <c r="D93" i="1"/>
  <c r="D58" i="1"/>
  <c r="D42" i="1"/>
  <c r="D95" i="1"/>
  <c r="D45" i="1"/>
  <c r="D46" i="1"/>
  <c r="D9" i="1"/>
  <c r="D47" i="1"/>
  <c r="D48" i="1"/>
  <c r="D49" i="1"/>
  <c r="D50" i="1"/>
  <c r="D43" i="1"/>
  <c r="D86" i="1"/>
  <c r="D36" i="1"/>
  <c r="D53" i="1"/>
  <c r="D37" i="1"/>
  <c r="D54" i="1"/>
  <c r="D65" i="1"/>
  <c r="D60" i="1"/>
  <c r="D8" i="1"/>
  <c r="D7" i="1"/>
  <c r="D66" i="1"/>
  <c r="D38" i="1"/>
  <c r="D2" i="1"/>
  <c r="D76" i="1"/>
  <c r="D64" i="1"/>
  <c r="D3" i="1"/>
  <c r="D77" i="1"/>
  <c r="D25" i="1"/>
  <c r="D17" i="1"/>
  <c r="D18" i="1"/>
  <c r="D59" i="1"/>
  <c r="D73" i="1"/>
  <c r="D19" i="1"/>
  <c r="D4" i="1"/>
  <c r="D20" i="1"/>
  <c r="D88" i="1"/>
  <c r="D92" i="1"/>
  <c r="D75" i="1"/>
  <c r="D70" i="1"/>
</calcChain>
</file>

<file path=xl/sharedStrings.xml><?xml version="1.0" encoding="utf-8"?>
<sst xmlns="http://schemas.openxmlformats.org/spreadsheetml/2006/main" count="389" uniqueCount="204">
  <si>
    <t>Clínicas</t>
  </si>
  <si>
    <t>Sede</t>
  </si>
  <si>
    <t>San Juan Bautista</t>
  </si>
  <si>
    <t>SJL</t>
  </si>
  <si>
    <t>Limatambo</t>
  </si>
  <si>
    <t>Callao</t>
  </si>
  <si>
    <t>Aviva</t>
  </si>
  <si>
    <t>Los Olivos</t>
  </si>
  <si>
    <t>Suiza Lab</t>
  </si>
  <si>
    <t>Miraflores</t>
  </si>
  <si>
    <t>Medex</t>
  </si>
  <si>
    <t>Surquillo</t>
  </si>
  <si>
    <t>Internacional</t>
  </si>
  <si>
    <t>Lima</t>
  </si>
  <si>
    <t>Integramédica</t>
  </si>
  <si>
    <t>Independencia</t>
  </si>
  <si>
    <t>SJM</t>
  </si>
  <si>
    <t>San Isidro</t>
  </si>
  <si>
    <t>Maisón de Sante</t>
  </si>
  <si>
    <t>Chorrillos</t>
  </si>
  <si>
    <t>Surco</t>
  </si>
  <si>
    <t>San Judas Tadeo</t>
  </si>
  <si>
    <t>San Miguel</t>
  </si>
  <si>
    <t>Jockey Salud</t>
  </si>
  <si>
    <t>Vesalio</t>
  </si>
  <si>
    <t>San Borja</t>
  </si>
  <si>
    <t>Stella Maris</t>
  </si>
  <si>
    <t>Pueblo Libre</t>
  </si>
  <si>
    <t>Montefiori</t>
  </si>
  <si>
    <t>La Molina</t>
  </si>
  <si>
    <t>Jesús del Norte</t>
  </si>
  <si>
    <t>San Gabriel</t>
  </si>
  <si>
    <t>Cayetano Heredia</t>
  </si>
  <si>
    <t>SMP</t>
  </si>
  <si>
    <t>Centenario Peruano Japonesa</t>
  </si>
  <si>
    <t>Good Hope</t>
  </si>
  <si>
    <t>Tipo</t>
  </si>
  <si>
    <t>Clínica</t>
  </si>
  <si>
    <t>Centro Médico</t>
  </si>
  <si>
    <t>Bellavista</t>
  </si>
  <si>
    <t>Lince</t>
  </si>
  <si>
    <t>Ricardo Palma</t>
  </si>
  <si>
    <t>Avendaño</t>
  </si>
  <si>
    <t>Providencia</t>
  </si>
  <si>
    <t>Medavan</t>
  </si>
  <si>
    <t>Magdalena</t>
  </si>
  <si>
    <t>Especialidades Médicas</t>
  </si>
  <si>
    <t>Javier Prado</t>
  </si>
  <si>
    <t>Tezza</t>
  </si>
  <si>
    <t>San Pablo</t>
  </si>
  <si>
    <t>Santa Isabel</t>
  </si>
  <si>
    <t>San Juan De Dios</t>
  </si>
  <si>
    <t>San Luis</t>
  </si>
  <si>
    <t>Sanna</t>
  </si>
  <si>
    <t>El Golf</t>
  </si>
  <si>
    <t xml:space="preserve">Sanna </t>
  </si>
  <si>
    <t>Montesur</t>
  </si>
  <si>
    <t>Angloamericana</t>
  </si>
  <si>
    <t>San Felipe</t>
  </si>
  <si>
    <t>Jesús María</t>
  </si>
  <si>
    <t>Delgado</t>
  </si>
  <si>
    <t>San Juan de Lurigancho</t>
  </si>
  <si>
    <t>Versalles</t>
  </si>
  <si>
    <t>Comas</t>
  </si>
  <si>
    <t>Mundo Salud</t>
  </si>
  <si>
    <t>Los Álamos</t>
  </si>
  <si>
    <t>Virgen del Rosario</t>
  </si>
  <si>
    <t>Auna</t>
  </si>
  <si>
    <t>Mapfre</t>
  </si>
  <si>
    <t>Los Andes</t>
  </si>
  <si>
    <t>Santa María</t>
  </si>
  <si>
    <t>La Luz</t>
  </si>
  <si>
    <t>Medicina Hiperbárica</t>
  </si>
  <si>
    <t>La Positiva</t>
  </si>
  <si>
    <t>MegaSalud Universal</t>
  </si>
  <si>
    <t>San Bernardo</t>
  </si>
  <si>
    <t>Poémape</t>
  </si>
  <si>
    <t>Chancay</t>
  </si>
  <si>
    <t>Arthrosalud</t>
  </si>
  <si>
    <t>Antonio Raymondi</t>
  </si>
  <si>
    <t>La Victoria</t>
  </si>
  <si>
    <t>San Clemente</t>
  </si>
  <si>
    <t>La Solidaridad</t>
  </si>
  <si>
    <t>Barranca</t>
  </si>
  <si>
    <t>AltaSalud</t>
  </si>
  <si>
    <t>San Pedro</t>
  </si>
  <si>
    <t>Huara</t>
  </si>
  <si>
    <t>San Bartolomé</t>
  </si>
  <si>
    <t>Huacho</t>
  </si>
  <si>
    <t>Sanens</t>
  </si>
  <si>
    <t>Higuereta</t>
  </si>
  <si>
    <t>Clisova</t>
  </si>
  <si>
    <t>Huaral</t>
  </si>
  <si>
    <t>Nueva Esperanza</t>
  </si>
  <si>
    <t>San Marcos</t>
  </si>
  <si>
    <t>Huaura</t>
  </si>
  <si>
    <t>Corazón de Jesús</t>
  </si>
  <si>
    <t>Cañete</t>
  </si>
  <si>
    <t>Alvarez</t>
  </si>
  <si>
    <t>Del Inca</t>
  </si>
  <si>
    <t>Sormedic</t>
  </si>
  <si>
    <t>Urozen</t>
  </si>
  <si>
    <t>Asia</t>
  </si>
  <si>
    <t>Concatenado</t>
  </si>
  <si>
    <t>Copiar</t>
  </si>
  <si>
    <t>Clínica San Juan Bautista - SJL</t>
  </si>
  <si>
    <t>Clínica Aviva - Los Olivos</t>
  </si>
  <si>
    <t>Clínica Limatambo - SJL</t>
  </si>
  <si>
    <t>Clínica Internacional - Lima</t>
  </si>
  <si>
    <t>Clínica Maisón de Sante - Chorrillos</t>
  </si>
  <si>
    <t>Clínica San Judas Tadeo - San Miguel</t>
  </si>
  <si>
    <t>Clínica Vesalio - San Borja</t>
  </si>
  <si>
    <t>Clínica Stella Maris - Pueblo Libre</t>
  </si>
  <si>
    <t>Clínica Montefiori - La Molina</t>
  </si>
  <si>
    <t>Clínica Jesús del Norte - Independencia</t>
  </si>
  <si>
    <t>Clínica San Gabriel - San Miguel</t>
  </si>
  <si>
    <t>Clínica Cayetano Heredia - SMP</t>
  </si>
  <si>
    <t>Clínica Centenario Peruano Japonesa - Pueblo Libre</t>
  </si>
  <si>
    <t>Clínica Good Hope - Miraflores</t>
  </si>
  <si>
    <t>Clínica Limatambo - San Isidro</t>
  </si>
  <si>
    <t>Centro Médico Limatambo - Callao</t>
  </si>
  <si>
    <t>Centro Médico Suiza Lab - Miraflores</t>
  </si>
  <si>
    <t>Centro Médico Medex - Surquillo</t>
  </si>
  <si>
    <t>Centro Médico Integramédica - Independencia</t>
  </si>
  <si>
    <t>Centro Médico Internacional - San Isidro</t>
  </si>
  <si>
    <t>Centro Médico Internacional - Surco</t>
  </si>
  <si>
    <t>Centro Médico Jockey Salud - Surco</t>
  </si>
  <si>
    <t>Clínica Bellavista - Callao</t>
  </si>
  <si>
    <t>Clínica Integramédica - San Isidro</t>
  </si>
  <si>
    <t>Centro Médico Cayetano Heredia - Lince</t>
  </si>
  <si>
    <t>Centro Médico Ricardo Palma - Chorrillos</t>
  </si>
  <si>
    <t>Centro Médico Avendaño - Miraflores</t>
  </si>
  <si>
    <t>Clínica Aviva - Lima</t>
  </si>
  <si>
    <t>Clínica Providencia - San Miguel</t>
  </si>
  <si>
    <t>Clínica Medavan - Magdalena</t>
  </si>
  <si>
    <t>Centro Médico Internacional - La Molina</t>
  </si>
  <si>
    <t>Clínica Especialidades Médicas - San Borja</t>
  </si>
  <si>
    <t>Clínica Javier Prado - San Isidro</t>
  </si>
  <si>
    <t>Clínica Tezza - Surco</t>
  </si>
  <si>
    <t>Clínica Ricardo Palma - San Isidro</t>
  </si>
  <si>
    <t>Clínica San Pablo - Surco</t>
  </si>
  <si>
    <t>Clínica Santa Isabel - San Borja</t>
  </si>
  <si>
    <t>Clínica San Juan De Dios - San Luis</t>
  </si>
  <si>
    <t>Centro Médico Sanna - La Molina</t>
  </si>
  <si>
    <t>Clínica El Golf - San Isidro</t>
  </si>
  <si>
    <t>Centro Médico Sanna - Surco</t>
  </si>
  <si>
    <t>Centro Médico Sanna - Miraflores</t>
  </si>
  <si>
    <t>Clínica Internacional - San Borja</t>
  </si>
  <si>
    <t>Clínica Sanna  - San Borja</t>
  </si>
  <si>
    <t>Clínica Montesur - Surco</t>
  </si>
  <si>
    <t>Clínica Angloamericana - La Molina</t>
  </si>
  <si>
    <t>Clínica Angloamericana - San Isidro</t>
  </si>
  <si>
    <t>Centro Médico San Felipe - La Molina</t>
  </si>
  <si>
    <t>Clínica San Felipe - Jesús María</t>
  </si>
  <si>
    <t>Clínica Miraflores - Miraflores</t>
  </si>
  <si>
    <t>Clínica Delgado - Miraflores</t>
  </si>
  <si>
    <t>Centro Médico Sanna - Los Olivos</t>
  </si>
  <si>
    <t>Centro Médico Sanna - San Miguel</t>
  </si>
  <si>
    <t>Centro Médico Sanna - San Juan de Lurigancho</t>
  </si>
  <si>
    <t>Clínica Versalles - Comas</t>
  </si>
  <si>
    <t>Clínica Mundo Salud - Los Olivos</t>
  </si>
  <si>
    <t>Centro Médico Los Álamos - Surquillo</t>
  </si>
  <si>
    <t>Clínica Virgen del Rosario - Magdalena</t>
  </si>
  <si>
    <t>Clínica Maisón de Sante - Lima</t>
  </si>
  <si>
    <t>Clínica Maisón de Sante - Surco</t>
  </si>
  <si>
    <t>Clínica Auna - San Isidro</t>
  </si>
  <si>
    <t>Centro Médico Mapfre - Independencia</t>
  </si>
  <si>
    <t>Centro Médico Mapfre - Magdalena</t>
  </si>
  <si>
    <t>Centro Médico Mapfre - San Miguel</t>
  </si>
  <si>
    <t>Centro Médico Mapfre - Surco</t>
  </si>
  <si>
    <t>Clínica Los Andes - Miraflores</t>
  </si>
  <si>
    <t>Clínica Santa María - Surquillo</t>
  </si>
  <si>
    <t>Clínica La Luz - Lima</t>
  </si>
  <si>
    <t>Clínica Medicina Hiperbárica - Lima</t>
  </si>
  <si>
    <t>Clínica MegaSalud Universal - Lima</t>
  </si>
  <si>
    <t>Clínica San Bernardo - Pueblo Libre</t>
  </si>
  <si>
    <t>Clínica Poémape - Chancay</t>
  </si>
  <si>
    <t>Clínica Arthrosalud - Lima</t>
  </si>
  <si>
    <t>Clínica Antonio Raymondi - La Victoria</t>
  </si>
  <si>
    <t>Clínica San Clemente - Lince</t>
  </si>
  <si>
    <t>Clínica La Solidaridad - Barranca</t>
  </si>
  <si>
    <t>Centro Médico AltaSalud - Barranca</t>
  </si>
  <si>
    <t>Clínica San Pedro - Huara</t>
  </si>
  <si>
    <t>Clínica San Bartolomé - Huacho</t>
  </si>
  <si>
    <t>Centro Médico AltaSalud - San Isidro</t>
  </si>
  <si>
    <t>Clínica Sanens - Surquillo</t>
  </si>
  <si>
    <t>Clínica Higuereta - Miraflores</t>
  </si>
  <si>
    <t>Centro Médico Clisova - Chancay</t>
  </si>
  <si>
    <t>Centro Médico Clisova - Huaral</t>
  </si>
  <si>
    <t>Centro Médico Nueva Esperanza - Huaral</t>
  </si>
  <si>
    <t>Clínica San Marcos - Huaura</t>
  </si>
  <si>
    <t>Clínica Corazón de Jesús - Cañete</t>
  </si>
  <si>
    <t>Clínica Alvarez - Surco</t>
  </si>
  <si>
    <t>Clínica Del Inca - Miraflores</t>
  </si>
  <si>
    <t>Centro Médico Sormedic - Lima</t>
  </si>
  <si>
    <t>Centro Médico Urozen - San Borja</t>
  </si>
  <si>
    <t>Clínica San Pablo - Asia</t>
  </si>
  <si>
    <t>Santa Martha del Sur</t>
  </si>
  <si>
    <t>Clínica Santa Martha del Sur - SJM</t>
  </si>
  <si>
    <t>Centro Médico San Felipe - Surco</t>
  </si>
  <si>
    <t>Centro Médico La Positiva - Surco</t>
  </si>
  <si>
    <t>SBC Medic</t>
  </si>
  <si>
    <t>Barranco</t>
  </si>
  <si>
    <t>Centro Médico SBC Medic - Barranco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</si>
</sst>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5E774-ABFE-47B0-B4F5-4CF33AFF6ECE}">
  <dimension ref="A1:E97"/>
  <sheetViews>
    <sheetView tabSelected="1" topLeftCell="B49" zoomScale="130" zoomScaleNormal="130" workbookViewId="0">
      <selection activeCell="E55" sqref="E55"/>
    </sheetView>
  </sheetViews>
  <sheetFormatPr baseColWidth="10" defaultRowHeight="15" x14ac:dyDescent="0.25"/>
  <cols>
    <col min="1" max="1" width="14" customWidth="1"/>
    <col min="2" max="2" width="27.7109375" bestFit="1" customWidth="1"/>
    <col min="3" max="3" width="14.28515625" bestFit="1" customWidth="1"/>
    <col min="4" max="4" width="3.140625" customWidth="1"/>
    <col min="5" max="5" width="47.140625" bestFit="1" customWidth="1"/>
  </cols>
  <sheetData>
    <row r="1" spans="1:5" x14ac:dyDescent="0.25">
      <c r="A1" s="1" t="s">
        <v>36</v>
      </c>
      <c r="B1" s="1" t="s">
        <v>0</v>
      </c>
      <c r="C1" s="1" t="s">
        <v>1</v>
      </c>
      <c r="D1" s="3" t="s">
        <v>103</v>
      </c>
      <c r="E1" s="4" t="s">
        <v>104</v>
      </c>
    </row>
    <row r="2" spans="1:5" x14ac:dyDescent="0.25">
      <c r="A2" t="s">
        <v>38</v>
      </c>
      <c r="B2" t="s">
        <v>84</v>
      </c>
      <c r="C2" t="s">
        <v>83</v>
      </c>
      <c r="D2" t="str">
        <f>CONCATENATE(A2," ",B2," ","-"," ",C2)</f>
        <v>Centro Médico AltaSalud - Barranca</v>
      </c>
      <c r="E2" t="s">
        <v>181</v>
      </c>
    </row>
    <row r="3" spans="1:5" x14ac:dyDescent="0.25">
      <c r="A3" t="s">
        <v>38</v>
      </c>
      <c r="B3" t="s">
        <v>84</v>
      </c>
      <c r="C3" t="s">
        <v>17</v>
      </c>
      <c r="D3" t="str">
        <f>CONCATENATE(A3," ",B3," ","-"," ",C3)</f>
        <v>Centro Médico AltaSalud - San Isidro</v>
      </c>
      <c r="E3" t="s">
        <v>184</v>
      </c>
    </row>
    <row r="4" spans="1:5" x14ac:dyDescent="0.25">
      <c r="A4" t="s">
        <v>37</v>
      </c>
      <c r="B4" t="s">
        <v>98</v>
      </c>
      <c r="C4" t="s">
        <v>20</v>
      </c>
      <c r="D4" t="str">
        <f>CONCATENATE(A4," ",B4," ","-"," ",C4)</f>
        <v>Clínica Alvarez - Surco</v>
      </c>
      <c r="E4" t="s">
        <v>192</v>
      </c>
    </row>
    <row r="5" spans="1:5" x14ac:dyDescent="0.25">
      <c r="A5" t="s">
        <v>37</v>
      </c>
      <c r="B5" t="s">
        <v>57</v>
      </c>
      <c r="C5" t="s">
        <v>29</v>
      </c>
      <c r="D5" t="str">
        <f>CONCATENATE(A5," ",B5," ","-"," ",C5)</f>
        <v>Clínica Angloamericana - La Molina</v>
      </c>
      <c r="E5" t="s">
        <v>150</v>
      </c>
    </row>
    <row r="6" spans="1:5" x14ac:dyDescent="0.25">
      <c r="A6" t="s">
        <v>37</v>
      </c>
      <c r="B6" t="s">
        <v>57</v>
      </c>
      <c r="C6" t="s">
        <v>17</v>
      </c>
      <c r="D6" t="str">
        <f>CONCATENATE(A6," ",B6," ","-"," ",C6)</f>
        <v>Clínica Angloamericana - San Isidro</v>
      </c>
      <c r="E6" t="s">
        <v>151</v>
      </c>
    </row>
    <row r="7" spans="1:5" x14ac:dyDescent="0.25">
      <c r="A7" t="s">
        <v>37</v>
      </c>
      <c r="B7" t="s">
        <v>79</v>
      </c>
      <c r="C7" t="s">
        <v>80</v>
      </c>
      <c r="D7" t="str">
        <f>CONCATENATE(A7," ",B7," ","-"," ",C7)</f>
        <v>Clínica Antonio Raymondi - La Victoria</v>
      </c>
      <c r="E7" t="s">
        <v>178</v>
      </c>
    </row>
    <row r="8" spans="1:5" x14ac:dyDescent="0.25">
      <c r="A8" t="s">
        <v>37</v>
      </c>
      <c r="B8" t="s">
        <v>78</v>
      </c>
      <c r="C8" t="s">
        <v>13</v>
      </c>
      <c r="D8" t="str">
        <f>CONCATENATE(A8," ",B8," ","-"," ",C8)</f>
        <v>Clínica Arthrosalud - Lima</v>
      </c>
      <c r="E8" t="s">
        <v>177</v>
      </c>
    </row>
    <row r="9" spans="1:5" x14ac:dyDescent="0.25">
      <c r="A9" t="s">
        <v>37</v>
      </c>
      <c r="B9" t="s">
        <v>67</v>
      </c>
      <c r="C9" t="s">
        <v>17</v>
      </c>
      <c r="D9" t="str">
        <f>CONCATENATE(A9," ",B9," ","-"," ",C9)</f>
        <v>Clínica Auna - San Isidro</v>
      </c>
      <c r="E9" t="s">
        <v>165</v>
      </c>
    </row>
    <row r="10" spans="1:5" x14ac:dyDescent="0.25">
      <c r="A10" t="s">
        <v>38</v>
      </c>
      <c r="B10" t="s">
        <v>42</v>
      </c>
      <c r="C10" t="s">
        <v>9</v>
      </c>
      <c r="D10" t="str">
        <f>CONCATENATE(A10," ",B10," ","-"," ",C10)</f>
        <v>Centro Médico Avendaño - Miraflores</v>
      </c>
      <c r="E10" t="s">
        <v>131</v>
      </c>
    </row>
    <row r="11" spans="1:5" x14ac:dyDescent="0.25">
      <c r="A11" t="s">
        <v>37</v>
      </c>
      <c r="B11" t="s">
        <v>6</v>
      </c>
      <c r="C11" t="s">
        <v>7</v>
      </c>
      <c r="D11" t="str">
        <f>CONCATENATE(A11," ",B11," ","-"," ",C11)</f>
        <v>Clínica Aviva - Los Olivos</v>
      </c>
      <c r="E11" t="s">
        <v>106</v>
      </c>
    </row>
    <row r="12" spans="1:5" x14ac:dyDescent="0.25">
      <c r="A12" t="s">
        <v>37</v>
      </c>
      <c r="B12" t="s">
        <v>6</v>
      </c>
      <c r="C12" t="s">
        <v>13</v>
      </c>
      <c r="D12" t="str">
        <f>CONCATENATE(A12," ",B12," ","-"," ",C12)</f>
        <v>Clínica Aviva - Lima</v>
      </c>
      <c r="E12" t="s">
        <v>132</v>
      </c>
    </row>
    <row r="13" spans="1:5" x14ac:dyDescent="0.25">
      <c r="A13" t="s">
        <v>37</v>
      </c>
      <c r="B13" t="s">
        <v>39</v>
      </c>
      <c r="C13" t="s">
        <v>5</v>
      </c>
      <c r="D13" t="str">
        <f>CONCATENATE(A13," ",B13," ","-"," ",C13)</f>
        <v>Clínica Bellavista - Callao</v>
      </c>
      <c r="E13" t="s">
        <v>127</v>
      </c>
    </row>
    <row r="14" spans="1:5" x14ac:dyDescent="0.25">
      <c r="A14" t="s">
        <v>37</v>
      </c>
      <c r="B14" t="s">
        <v>32</v>
      </c>
      <c r="C14" t="s">
        <v>33</v>
      </c>
      <c r="D14" t="str">
        <f>CONCATENATE(A14," ",B14," ","-"," ",C14)</f>
        <v>Clínica Cayetano Heredia - SMP</v>
      </c>
      <c r="E14" t="s">
        <v>116</v>
      </c>
    </row>
    <row r="15" spans="1:5" x14ac:dyDescent="0.25">
      <c r="A15" t="s">
        <v>38</v>
      </c>
      <c r="B15" t="s">
        <v>32</v>
      </c>
      <c r="C15" t="s">
        <v>40</v>
      </c>
      <c r="D15" t="str">
        <f>CONCATENATE(A15," ",B15," ","-"," ",C15)</f>
        <v>Centro Médico Cayetano Heredia - Lince</v>
      </c>
      <c r="E15" t="s">
        <v>129</v>
      </c>
    </row>
    <row r="16" spans="1:5" x14ac:dyDescent="0.25">
      <c r="A16" t="s">
        <v>37</v>
      </c>
      <c r="B16" t="s">
        <v>34</v>
      </c>
      <c r="C16" t="s">
        <v>27</v>
      </c>
      <c r="D16" t="str">
        <f>CONCATENATE(A16," ",B16," ","-"," ",C16)</f>
        <v>Clínica Centenario Peruano Japonesa - Pueblo Libre</v>
      </c>
      <c r="E16" t="s">
        <v>117</v>
      </c>
    </row>
    <row r="17" spans="1:5" x14ac:dyDescent="0.25">
      <c r="A17" t="s">
        <v>38</v>
      </c>
      <c r="B17" t="s">
        <v>91</v>
      </c>
      <c r="C17" t="s">
        <v>77</v>
      </c>
      <c r="D17" t="str">
        <f>CONCATENATE(A17," ",B17," ","-"," ",C17)</f>
        <v>Centro Médico Clisova - Chancay</v>
      </c>
      <c r="E17" t="s">
        <v>187</v>
      </c>
    </row>
    <row r="18" spans="1:5" x14ac:dyDescent="0.25">
      <c r="A18" t="s">
        <v>38</v>
      </c>
      <c r="B18" t="s">
        <v>91</v>
      </c>
      <c r="C18" t="s">
        <v>92</v>
      </c>
      <c r="D18" t="str">
        <f>CONCATENATE(A18," ",B18," ","-"," ",C18)</f>
        <v>Centro Médico Clisova - Huaral</v>
      </c>
      <c r="E18" t="s">
        <v>188</v>
      </c>
    </row>
    <row r="19" spans="1:5" x14ac:dyDescent="0.25">
      <c r="A19" t="s">
        <v>37</v>
      </c>
      <c r="B19" t="s">
        <v>96</v>
      </c>
      <c r="C19" t="s">
        <v>97</v>
      </c>
      <c r="D19" t="str">
        <f>CONCATENATE(A19," ",B19," ","-"," ",C19)</f>
        <v>Clínica Corazón de Jesús - Cañete</v>
      </c>
      <c r="E19" t="s">
        <v>191</v>
      </c>
    </row>
    <row r="20" spans="1:5" x14ac:dyDescent="0.25">
      <c r="A20" t="s">
        <v>37</v>
      </c>
      <c r="B20" t="s">
        <v>99</v>
      </c>
      <c r="C20" t="s">
        <v>9</v>
      </c>
      <c r="D20" t="str">
        <f>CONCATENATE(A20," ",B20," ","-"," ",C20)</f>
        <v>Clínica Del Inca - Miraflores</v>
      </c>
      <c r="E20" t="s">
        <v>193</v>
      </c>
    </row>
    <row r="21" spans="1:5" x14ac:dyDescent="0.25">
      <c r="A21" t="s">
        <v>37</v>
      </c>
      <c r="B21" t="s">
        <v>60</v>
      </c>
      <c r="C21" t="s">
        <v>9</v>
      </c>
      <c r="D21" t="str">
        <f>CONCATENATE(A21," ",B21," ","-"," ",C21)</f>
        <v>Clínica Delgado - Miraflores</v>
      </c>
      <c r="E21" t="s">
        <v>155</v>
      </c>
    </row>
    <row r="22" spans="1:5" x14ac:dyDescent="0.25">
      <c r="A22" t="s">
        <v>37</v>
      </c>
      <c r="B22" t="s">
        <v>54</v>
      </c>
      <c r="C22" t="s">
        <v>17</v>
      </c>
      <c r="D22" t="str">
        <f>CONCATENATE(A22," ",B22," ","-"," ",C22)</f>
        <v>Clínica El Golf - San Isidro</v>
      </c>
      <c r="E22" t="s">
        <v>144</v>
      </c>
    </row>
    <row r="23" spans="1:5" x14ac:dyDescent="0.25">
      <c r="A23" t="s">
        <v>37</v>
      </c>
      <c r="B23" t="s">
        <v>46</v>
      </c>
      <c r="C23" t="s">
        <v>25</v>
      </c>
      <c r="D23" t="str">
        <f>CONCATENATE(A23," ",B23," ","-"," ",C23)</f>
        <v>Clínica Especialidades Médicas - San Borja</v>
      </c>
      <c r="E23" t="s">
        <v>136</v>
      </c>
    </row>
    <row r="24" spans="1:5" s="2" customFormat="1" x14ac:dyDescent="0.25">
      <c r="A24" s="2" t="s">
        <v>37</v>
      </c>
      <c r="B24" s="2" t="s">
        <v>35</v>
      </c>
      <c r="C24" s="2" t="s">
        <v>9</v>
      </c>
      <c r="D24" t="str">
        <f>CONCATENATE(A24," ",B24," ","-"," ",C24)</f>
        <v>Clínica Good Hope - Miraflores</v>
      </c>
      <c r="E24" s="2" t="s">
        <v>118</v>
      </c>
    </row>
    <row r="25" spans="1:5" x14ac:dyDescent="0.25">
      <c r="A25" t="s">
        <v>37</v>
      </c>
      <c r="B25" t="s">
        <v>90</v>
      </c>
      <c r="C25" t="s">
        <v>9</v>
      </c>
      <c r="D25" t="str">
        <f>CONCATENATE(A25," ",B25," ","-"," ",C25)</f>
        <v>Clínica Higuereta - Miraflores</v>
      </c>
      <c r="E25" t="s">
        <v>186</v>
      </c>
    </row>
    <row r="26" spans="1:5" x14ac:dyDescent="0.25">
      <c r="A26" t="s">
        <v>38</v>
      </c>
      <c r="B26" t="s">
        <v>14</v>
      </c>
      <c r="C26" t="s">
        <v>15</v>
      </c>
      <c r="D26" t="str">
        <f>CONCATENATE(A26," ",B26," ","-"," ",C26)</f>
        <v>Centro Médico Integramédica - Independencia</v>
      </c>
      <c r="E26" t="s">
        <v>123</v>
      </c>
    </row>
    <row r="27" spans="1:5" x14ac:dyDescent="0.25">
      <c r="A27" t="s">
        <v>37</v>
      </c>
      <c r="B27" t="s">
        <v>14</v>
      </c>
      <c r="C27" t="s">
        <v>17</v>
      </c>
      <c r="D27" t="str">
        <f>CONCATENATE(A27," ",B27," ","-"," ",C27)</f>
        <v>Clínica Integramédica - San Isidro</v>
      </c>
      <c r="E27" t="s">
        <v>128</v>
      </c>
    </row>
    <row r="28" spans="1:5" x14ac:dyDescent="0.25">
      <c r="A28" t="s">
        <v>37</v>
      </c>
      <c r="B28" t="s">
        <v>12</v>
      </c>
      <c r="C28" t="s">
        <v>13</v>
      </c>
      <c r="D28" t="str">
        <f>CONCATENATE(A28," ",B28," ","-"," ",C28)</f>
        <v>Clínica Internacional - Lima</v>
      </c>
      <c r="E28" t="s">
        <v>108</v>
      </c>
    </row>
    <row r="29" spans="1:5" x14ac:dyDescent="0.25">
      <c r="A29" t="s">
        <v>38</v>
      </c>
      <c r="B29" t="s">
        <v>12</v>
      </c>
      <c r="C29" t="s">
        <v>17</v>
      </c>
      <c r="D29" t="str">
        <f>CONCATENATE(A29," ",B29," ","-"," ",C29)</f>
        <v>Centro Médico Internacional - San Isidro</v>
      </c>
      <c r="E29" t="s">
        <v>124</v>
      </c>
    </row>
    <row r="30" spans="1:5" x14ac:dyDescent="0.25">
      <c r="A30" t="s">
        <v>38</v>
      </c>
      <c r="B30" t="s">
        <v>12</v>
      </c>
      <c r="C30" t="s">
        <v>20</v>
      </c>
      <c r="D30" t="str">
        <f>CONCATENATE(A30," ",B30," ","-"," ",C30)</f>
        <v>Centro Médico Internacional - Surco</v>
      </c>
      <c r="E30" t="s">
        <v>125</v>
      </c>
    </row>
    <row r="31" spans="1:5" x14ac:dyDescent="0.25">
      <c r="A31" t="s">
        <v>38</v>
      </c>
      <c r="B31" t="s">
        <v>12</v>
      </c>
      <c r="C31" t="s">
        <v>29</v>
      </c>
      <c r="D31" t="str">
        <f>CONCATENATE(A31," ",B31," ","-"," ",C31)</f>
        <v>Centro Médico Internacional - La Molina</v>
      </c>
      <c r="E31" t="s">
        <v>135</v>
      </c>
    </row>
    <row r="32" spans="1:5" x14ac:dyDescent="0.25">
      <c r="A32" t="s">
        <v>37</v>
      </c>
      <c r="B32" t="s">
        <v>12</v>
      </c>
      <c r="C32" t="s">
        <v>25</v>
      </c>
      <c r="D32" t="str">
        <f>CONCATENATE(A32," ",B32," ","-"," ",C32)</f>
        <v>Clínica Internacional - San Borja</v>
      </c>
      <c r="E32" t="s">
        <v>147</v>
      </c>
    </row>
    <row r="33" spans="1:5" x14ac:dyDescent="0.25">
      <c r="A33" t="s">
        <v>37</v>
      </c>
      <c r="B33" t="s">
        <v>47</v>
      </c>
      <c r="C33" t="s">
        <v>17</v>
      </c>
      <c r="D33" t="str">
        <f>CONCATENATE(A33," ",B33," ","-"," ",C33)</f>
        <v>Clínica Javier Prado - San Isidro</v>
      </c>
      <c r="E33" t="s">
        <v>137</v>
      </c>
    </row>
    <row r="34" spans="1:5" x14ac:dyDescent="0.25">
      <c r="A34" t="s">
        <v>37</v>
      </c>
      <c r="B34" t="s">
        <v>30</v>
      </c>
      <c r="C34" t="s">
        <v>15</v>
      </c>
      <c r="D34" t="str">
        <f>CONCATENATE(A34," ",B34," ","-"," ",C34)</f>
        <v>Clínica Jesús del Norte - Independencia</v>
      </c>
      <c r="E34" t="s">
        <v>114</v>
      </c>
    </row>
    <row r="35" spans="1:5" x14ac:dyDescent="0.25">
      <c r="A35" s="5" t="s">
        <v>38</v>
      </c>
      <c r="B35" s="5" t="s">
        <v>23</v>
      </c>
      <c r="C35" s="5" t="s">
        <v>20</v>
      </c>
      <c r="D35" t="str">
        <f>CONCATENATE(A35," ",B35," ","-"," ",C35)</f>
        <v>Centro Médico Jockey Salud - Surco</v>
      </c>
      <c r="E35" s="5" t="s">
        <v>126</v>
      </c>
    </row>
    <row r="36" spans="1:5" x14ac:dyDescent="0.25">
      <c r="A36" t="s">
        <v>37</v>
      </c>
      <c r="B36" t="s">
        <v>71</v>
      </c>
      <c r="C36" t="s">
        <v>13</v>
      </c>
      <c r="D36" t="str">
        <f>CONCATENATE(A36," ",B36," ","-"," ",C36)</f>
        <v>Clínica La Luz - Lima</v>
      </c>
      <c r="E36" t="s">
        <v>172</v>
      </c>
    </row>
    <row r="37" spans="1:5" x14ac:dyDescent="0.25">
      <c r="A37" t="s">
        <v>38</v>
      </c>
      <c r="B37" t="s">
        <v>73</v>
      </c>
      <c r="C37" t="s">
        <v>20</v>
      </c>
      <c r="D37" t="str">
        <f>CONCATENATE(A37," ",B37," ","-"," ",C37)</f>
        <v>Centro Médico La Positiva - Surco</v>
      </c>
      <c r="E37" t="s">
        <v>200</v>
      </c>
    </row>
    <row r="38" spans="1:5" x14ac:dyDescent="0.25">
      <c r="A38" t="s">
        <v>37</v>
      </c>
      <c r="B38" t="s">
        <v>82</v>
      </c>
      <c r="C38" t="s">
        <v>83</v>
      </c>
      <c r="D38" t="str">
        <f>CONCATENATE(A38," ",B38," ","-"," ",C38)</f>
        <v>Clínica La Solidaridad - Barranca</v>
      </c>
      <c r="E38" t="s">
        <v>180</v>
      </c>
    </row>
    <row r="39" spans="1:5" x14ac:dyDescent="0.25">
      <c r="A39" t="s">
        <v>37</v>
      </c>
      <c r="B39" t="s">
        <v>4</v>
      </c>
      <c r="C39" t="s">
        <v>3</v>
      </c>
      <c r="D39" t="str">
        <f>CONCATENATE(A39," ",B39," ","-"," ",C39)</f>
        <v>Clínica Limatambo - SJL</v>
      </c>
      <c r="E39" t="s">
        <v>107</v>
      </c>
    </row>
    <row r="40" spans="1:5" x14ac:dyDescent="0.25">
      <c r="A40" t="s">
        <v>37</v>
      </c>
      <c r="B40" t="s">
        <v>4</v>
      </c>
      <c r="C40" t="s">
        <v>17</v>
      </c>
      <c r="D40" t="str">
        <f>CONCATENATE(A40," ",B40," ","-"," ",C40)</f>
        <v>Clínica Limatambo - San Isidro</v>
      </c>
      <c r="E40" t="s">
        <v>119</v>
      </c>
    </row>
    <row r="41" spans="1:5" x14ac:dyDescent="0.25">
      <c r="A41" t="s">
        <v>38</v>
      </c>
      <c r="B41" t="s">
        <v>4</v>
      </c>
      <c r="C41" t="s">
        <v>5</v>
      </c>
      <c r="D41" t="str">
        <f>CONCATENATE(A41," ",B41," ","-"," ",C41)</f>
        <v>Centro Médico Limatambo - Callao</v>
      </c>
      <c r="E41" t="s">
        <v>120</v>
      </c>
    </row>
    <row r="42" spans="1:5" x14ac:dyDescent="0.25">
      <c r="A42" t="s">
        <v>38</v>
      </c>
      <c r="B42" t="s">
        <v>65</v>
      </c>
      <c r="C42" t="s">
        <v>11</v>
      </c>
      <c r="D42" t="str">
        <f>CONCATENATE(A42," ",B42," ","-"," ",C42)</f>
        <v>Centro Médico Los Álamos - Surquillo</v>
      </c>
      <c r="E42" t="s">
        <v>161</v>
      </c>
    </row>
    <row r="43" spans="1:5" x14ac:dyDescent="0.25">
      <c r="A43" t="s">
        <v>37</v>
      </c>
      <c r="B43" t="s">
        <v>69</v>
      </c>
      <c r="C43" t="s">
        <v>9</v>
      </c>
      <c r="D43" t="str">
        <f>CONCATENATE(A43," ",B43," ","-"," ",C43)</f>
        <v>Clínica Los Andes - Miraflores</v>
      </c>
      <c r="E43" t="s">
        <v>170</v>
      </c>
    </row>
    <row r="44" spans="1:5" x14ac:dyDescent="0.25">
      <c r="A44" t="s">
        <v>37</v>
      </c>
      <c r="B44" t="s">
        <v>18</v>
      </c>
      <c r="C44" t="s">
        <v>19</v>
      </c>
      <c r="D44" t="str">
        <f>CONCATENATE(A44," ",B44," ","-"," ",C44)</f>
        <v>Clínica Maisón de Sante - Chorrillos</v>
      </c>
      <c r="E44" t="s">
        <v>109</v>
      </c>
    </row>
    <row r="45" spans="1:5" x14ac:dyDescent="0.25">
      <c r="A45" t="s">
        <v>37</v>
      </c>
      <c r="B45" t="s">
        <v>18</v>
      </c>
      <c r="C45" t="s">
        <v>13</v>
      </c>
      <c r="D45" t="str">
        <f>CONCATENATE(A45," ",B45," ","-"," ",C45)</f>
        <v>Clínica Maisón de Sante - Lima</v>
      </c>
      <c r="E45" t="s">
        <v>163</v>
      </c>
    </row>
    <row r="46" spans="1:5" x14ac:dyDescent="0.25">
      <c r="A46" t="s">
        <v>37</v>
      </c>
      <c r="B46" t="s">
        <v>18</v>
      </c>
      <c r="C46" t="s">
        <v>20</v>
      </c>
      <c r="D46" t="str">
        <f>CONCATENATE(A46," ",B46," ","-"," ",C46)</f>
        <v>Clínica Maisón de Sante - Surco</v>
      </c>
      <c r="E46" t="s">
        <v>164</v>
      </c>
    </row>
    <row r="47" spans="1:5" x14ac:dyDescent="0.25">
      <c r="A47" t="s">
        <v>38</v>
      </c>
      <c r="B47" t="s">
        <v>68</v>
      </c>
      <c r="C47" t="s">
        <v>15</v>
      </c>
      <c r="D47" t="str">
        <f>CONCATENATE(A47," ",B47," ","-"," ",C47)</f>
        <v>Centro Médico Mapfre - Independencia</v>
      </c>
      <c r="E47" t="s">
        <v>166</v>
      </c>
    </row>
    <row r="48" spans="1:5" x14ac:dyDescent="0.25">
      <c r="A48" t="s">
        <v>38</v>
      </c>
      <c r="B48" t="s">
        <v>68</v>
      </c>
      <c r="C48" t="s">
        <v>45</v>
      </c>
      <c r="D48" t="str">
        <f>CONCATENATE(A48," ",B48," ","-"," ",C48)</f>
        <v>Centro Médico Mapfre - Magdalena</v>
      </c>
      <c r="E48" t="s">
        <v>167</v>
      </c>
    </row>
    <row r="49" spans="1:5" x14ac:dyDescent="0.25">
      <c r="A49" t="s">
        <v>38</v>
      </c>
      <c r="B49" t="s">
        <v>68</v>
      </c>
      <c r="C49" t="s">
        <v>22</v>
      </c>
      <c r="D49" t="str">
        <f>CONCATENATE(A49," ",B49," ","-"," ",C49)</f>
        <v>Centro Médico Mapfre - San Miguel</v>
      </c>
      <c r="E49" t="s">
        <v>168</v>
      </c>
    </row>
    <row r="50" spans="1:5" x14ac:dyDescent="0.25">
      <c r="A50" t="s">
        <v>38</v>
      </c>
      <c r="B50" t="s">
        <v>68</v>
      </c>
      <c r="C50" t="s">
        <v>20</v>
      </c>
      <c r="D50" t="str">
        <f>CONCATENATE(A50," ",B50," ","-"," ",C50)</f>
        <v>Centro Médico Mapfre - Surco</v>
      </c>
      <c r="E50" t="s">
        <v>169</v>
      </c>
    </row>
    <row r="51" spans="1:5" x14ac:dyDescent="0.25">
      <c r="A51" t="s">
        <v>37</v>
      </c>
      <c r="B51" t="s">
        <v>44</v>
      </c>
      <c r="C51" t="s">
        <v>45</v>
      </c>
      <c r="D51" t="str">
        <f>CONCATENATE(A51," ",B51," ","-"," ",C51)</f>
        <v>Clínica Medavan - Magdalena</v>
      </c>
      <c r="E51" t="s">
        <v>134</v>
      </c>
    </row>
    <row r="52" spans="1:5" x14ac:dyDescent="0.25">
      <c r="A52" t="s">
        <v>38</v>
      </c>
      <c r="B52" t="s">
        <v>10</v>
      </c>
      <c r="C52" t="s">
        <v>11</v>
      </c>
      <c r="D52" t="str">
        <f>CONCATENATE(A52," ",B52," ","-"," ",C52)</f>
        <v>Centro Médico Medex - Surquillo</v>
      </c>
      <c r="E52" t="s">
        <v>122</v>
      </c>
    </row>
    <row r="53" spans="1:5" x14ac:dyDescent="0.25">
      <c r="A53" t="s">
        <v>37</v>
      </c>
      <c r="B53" t="s">
        <v>72</v>
      </c>
      <c r="C53" t="s">
        <v>13</v>
      </c>
      <c r="D53" t="str">
        <f>CONCATENATE(A53," ",B53," ","-"," ",C53)</f>
        <v>Clínica Medicina Hiperbárica - Lima</v>
      </c>
      <c r="E53" t="s">
        <v>173</v>
      </c>
    </row>
    <row r="54" spans="1:5" x14ac:dyDescent="0.25">
      <c r="A54" t="s">
        <v>37</v>
      </c>
      <c r="B54" t="s">
        <v>74</v>
      </c>
      <c r="C54" t="s">
        <v>13</v>
      </c>
      <c r="D54" t="str">
        <f>CONCATENATE(A54," ",B54," ","-"," ",C54)</f>
        <v>Clínica MegaSalud Universal - Lima</v>
      </c>
      <c r="E54" t="s">
        <v>174</v>
      </c>
    </row>
    <row r="55" spans="1:5" x14ac:dyDescent="0.25">
      <c r="A55" t="s">
        <v>37</v>
      </c>
      <c r="B55" t="s">
        <v>9</v>
      </c>
      <c r="C55" t="s">
        <v>9</v>
      </c>
      <c r="D55" t="str">
        <f>CONCATENATE(A55," ",B55," ","-"," ",C55)</f>
        <v>Clínica Miraflores - Miraflores</v>
      </c>
      <c r="E55" t="s">
        <v>154</v>
      </c>
    </row>
    <row r="56" spans="1:5" x14ac:dyDescent="0.25">
      <c r="A56" t="s">
        <v>37</v>
      </c>
      <c r="B56" t="s">
        <v>28</v>
      </c>
      <c r="C56" t="s">
        <v>29</v>
      </c>
      <c r="D56" t="str">
        <f>CONCATENATE(A56," ",B56," ","-"," ",C56)</f>
        <v>Clínica Montefiori - La Molina</v>
      </c>
      <c r="E56" t="s">
        <v>113</v>
      </c>
    </row>
    <row r="57" spans="1:5" x14ac:dyDescent="0.25">
      <c r="A57" t="s">
        <v>37</v>
      </c>
      <c r="B57" t="s">
        <v>56</v>
      </c>
      <c r="C57" t="s">
        <v>20</v>
      </c>
      <c r="D57" t="str">
        <f>CONCATENATE(A57," ",B57," ","-"," ",C57)</f>
        <v>Clínica Montesur - Surco</v>
      </c>
      <c r="E57" t="s">
        <v>149</v>
      </c>
    </row>
    <row r="58" spans="1:5" x14ac:dyDescent="0.25">
      <c r="A58" t="s">
        <v>37</v>
      </c>
      <c r="B58" t="s">
        <v>64</v>
      </c>
      <c r="C58" t="s">
        <v>7</v>
      </c>
      <c r="D58" t="str">
        <f>CONCATENATE(A58," ",B58," ","-"," ",C58)</f>
        <v>Clínica Mundo Salud - Los Olivos</v>
      </c>
      <c r="E58" t="s">
        <v>160</v>
      </c>
    </row>
    <row r="59" spans="1:5" x14ac:dyDescent="0.25">
      <c r="A59" t="s">
        <v>38</v>
      </c>
      <c r="B59" t="s">
        <v>93</v>
      </c>
      <c r="C59" t="s">
        <v>92</v>
      </c>
      <c r="D59" t="str">
        <f>CONCATENATE(A59," ",B59," ","-"," ",C59)</f>
        <v>Centro Médico Nueva Esperanza - Huaral</v>
      </c>
      <c r="E59" t="s">
        <v>189</v>
      </c>
    </row>
    <row r="60" spans="1:5" x14ac:dyDescent="0.25">
      <c r="A60" t="s">
        <v>37</v>
      </c>
      <c r="B60" t="s">
        <v>76</v>
      </c>
      <c r="C60" t="s">
        <v>77</v>
      </c>
      <c r="D60" t="str">
        <f>CONCATENATE(A60," ",B60," ","-"," ",C60)</f>
        <v>Clínica Poémape - Chancay</v>
      </c>
      <c r="E60" t="s">
        <v>176</v>
      </c>
    </row>
    <row r="61" spans="1:5" x14ac:dyDescent="0.25">
      <c r="A61" t="s">
        <v>37</v>
      </c>
      <c r="B61" t="s">
        <v>43</v>
      </c>
      <c r="C61" t="s">
        <v>22</v>
      </c>
      <c r="D61" t="str">
        <f>CONCATENATE(A61," ",B61," ","-"," ",C61)</f>
        <v>Clínica Providencia - San Miguel</v>
      </c>
      <c r="E61" t="s">
        <v>133</v>
      </c>
    </row>
    <row r="62" spans="1:5" x14ac:dyDescent="0.25">
      <c r="A62" t="s">
        <v>38</v>
      </c>
      <c r="B62" t="s">
        <v>41</v>
      </c>
      <c r="C62" t="s">
        <v>19</v>
      </c>
      <c r="D62" t="str">
        <f>CONCATENATE(A62," ",B62," ","-"," ",C62)</f>
        <v>Centro Médico Ricardo Palma - Chorrillos</v>
      </c>
      <c r="E62" t="s">
        <v>130</v>
      </c>
    </row>
    <row r="63" spans="1:5" x14ac:dyDescent="0.25">
      <c r="A63" t="s">
        <v>37</v>
      </c>
      <c r="B63" t="s">
        <v>41</v>
      </c>
      <c r="C63" t="s">
        <v>17</v>
      </c>
      <c r="D63" t="str">
        <f>CONCATENATE(A63," ",B63," ","-"," ",C63)</f>
        <v>Clínica Ricardo Palma - San Isidro</v>
      </c>
      <c r="E63" t="s">
        <v>139</v>
      </c>
    </row>
    <row r="64" spans="1:5" x14ac:dyDescent="0.25">
      <c r="A64" t="s">
        <v>37</v>
      </c>
      <c r="B64" t="s">
        <v>87</v>
      </c>
      <c r="C64" t="s">
        <v>88</v>
      </c>
      <c r="D64" t="str">
        <f>CONCATENATE(A64," ",B64," ","-"," ",C64)</f>
        <v>Clínica San Bartolomé - Huacho</v>
      </c>
      <c r="E64" t="s">
        <v>183</v>
      </c>
    </row>
    <row r="65" spans="1:5" x14ac:dyDescent="0.25">
      <c r="A65" t="s">
        <v>37</v>
      </c>
      <c r="B65" t="s">
        <v>75</v>
      </c>
      <c r="C65" t="s">
        <v>27</v>
      </c>
      <c r="D65" t="str">
        <f>CONCATENATE(A65," ",B65," ","-"," ",C65)</f>
        <v>Clínica San Bernardo - Pueblo Libre</v>
      </c>
      <c r="E65" t="s">
        <v>175</v>
      </c>
    </row>
    <row r="66" spans="1:5" x14ac:dyDescent="0.25">
      <c r="A66" t="s">
        <v>37</v>
      </c>
      <c r="B66" t="s">
        <v>81</v>
      </c>
      <c r="C66" t="s">
        <v>40</v>
      </c>
      <c r="D66" t="str">
        <f>CONCATENATE(A66," ",B66," ","-"," ",C66)</f>
        <v>Clínica San Clemente - Lince</v>
      </c>
      <c r="E66" t="s">
        <v>179</v>
      </c>
    </row>
    <row r="67" spans="1:5" x14ac:dyDescent="0.25">
      <c r="A67" t="s">
        <v>38</v>
      </c>
      <c r="B67" t="s">
        <v>58</v>
      </c>
      <c r="C67" t="s">
        <v>29</v>
      </c>
      <c r="D67" t="str">
        <f>CONCATENATE(A67," ",B67," ","-"," ",C67)</f>
        <v>Centro Médico San Felipe - La Molina</v>
      </c>
      <c r="E67" t="s">
        <v>152</v>
      </c>
    </row>
    <row r="68" spans="1:5" x14ac:dyDescent="0.25">
      <c r="A68" t="s">
        <v>37</v>
      </c>
      <c r="B68" t="s">
        <v>58</v>
      </c>
      <c r="C68" t="s">
        <v>59</v>
      </c>
      <c r="D68" t="str">
        <f>CONCATENATE(A68," ",B68," ","-"," ",C68)</f>
        <v>Clínica San Felipe - Jesús María</v>
      </c>
      <c r="E68" t="s">
        <v>153</v>
      </c>
    </row>
    <row r="69" spans="1:5" x14ac:dyDescent="0.25">
      <c r="A69" t="s">
        <v>37</v>
      </c>
      <c r="B69" t="s">
        <v>31</v>
      </c>
      <c r="C69" t="s">
        <v>22</v>
      </c>
      <c r="D69" t="str">
        <f>CONCATENATE(A69," ",B69," ","-"," ",C69)</f>
        <v>Clínica San Gabriel - San Miguel</v>
      </c>
      <c r="E69" t="s">
        <v>115</v>
      </c>
    </row>
    <row r="70" spans="1:5" x14ac:dyDescent="0.25">
      <c r="A70" t="s">
        <v>37</v>
      </c>
      <c r="B70" t="s">
        <v>2</v>
      </c>
      <c r="C70" t="s">
        <v>3</v>
      </c>
      <c r="D70" t="str">
        <f>CONCATENATE(A70," ",B70," ","-"," ",C70)</f>
        <v>Clínica San Juan Bautista - SJL</v>
      </c>
      <c r="E70" t="s">
        <v>105</v>
      </c>
    </row>
    <row r="71" spans="1:5" x14ac:dyDescent="0.25">
      <c r="A71" t="s">
        <v>37</v>
      </c>
      <c r="B71" t="s">
        <v>51</v>
      </c>
      <c r="C71" t="s">
        <v>52</v>
      </c>
      <c r="D71" t="str">
        <f>CONCATENATE(A71," ",B71," ","-"," ",C71)</f>
        <v>Clínica San Juan De Dios - San Luis</v>
      </c>
      <c r="E71" t="s">
        <v>142</v>
      </c>
    </row>
    <row r="72" spans="1:5" x14ac:dyDescent="0.25">
      <c r="A72" t="s">
        <v>37</v>
      </c>
      <c r="B72" t="s">
        <v>21</v>
      </c>
      <c r="C72" t="s">
        <v>22</v>
      </c>
      <c r="D72" t="str">
        <f>CONCATENATE(A72," ",B72," ","-"," ",C72)</f>
        <v>Clínica San Judas Tadeo - San Miguel</v>
      </c>
      <c r="E72" t="s">
        <v>110</v>
      </c>
    </row>
    <row r="73" spans="1:5" x14ac:dyDescent="0.25">
      <c r="A73" t="s">
        <v>37</v>
      </c>
      <c r="B73" s="5" t="s">
        <v>94</v>
      </c>
      <c r="C73" s="5" t="s">
        <v>95</v>
      </c>
      <c r="D73" t="str">
        <f>CONCATENATE(A73," ",B73," ","-"," ",C73)</f>
        <v>Clínica San Marcos - Huaura</v>
      </c>
      <c r="E73" s="5" t="s">
        <v>190</v>
      </c>
    </row>
    <row r="74" spans="1:5" x14ac:dyDescent="0.25">
      <c r="A74" t="s">
        <v>37</v>
      </c>
      <c r="B74" t="s">
        <v>49</v>
      </c>
      <c r="C74" t="s">
        <v>20</v>
      </c>
      <c r="D74" t="str">
        <f>CONCATENATE(A74," ",B74," ","-"," ",C74)</f>
        <v>Clínica San Pablo - Surco</v>
      </c>
      <c r="E74" t="s">
        <v>140</v>
      </c>
    </row>
    <row r="75" spans="1:5" x14ac:dyDescent="0.25">
      <c r="A75" t="s">
        <v>37</v>
      </c>
      <c r="B75" t="s">
        <v>49</v>
      </c>
      <c r="C75" t="s">
        <v>102</v>
      </c>
      <c r="D75" t="str">
        <f>CONCATENATE(A75," ",B75," ","-"," ",C75)</f>
        <v>Clínica San Pablo - Asia</v>
      </c>
      <c r="E75" t="s">
        <v>196</v>
      </c>
    </row>
    <row r="76" spans="1:5" x14ac:dyDescent="0.25">
      <c r="A76" t="s">
        <v>37</v>
      </c>
      <c r="B76" t="s">
        <v>85</v>
      </c>
      <c r="C76" t="s">
        <v>86</v>
      </c>
      <c r="D76" t="str">
        <f>CONCATENATE(A76," ",B76," ","-"," ",C76)</f>
        <v>Clínica San Pedro - Huara</v>
      </c>
      <c r="E76" t="s">
        <v>182</v>
      </c>
    </row>
    <row r="77" spans="1:5" x14ac:dyDescent="0.25">
      <c r="A77" t="s">
        <v>37</v>
      </c>
      <c r="B77" t="s">
        <v>89</v>
      </c>
      <c r="C77" t="s">
        <v>11</v>
      </c>
      <c r="D77" t="str">
        <f>CONCATENATE(A77," ",B77," ","-"," ",C77)</f>
        <v>Clínica Sanens - Surquillo</v>
      </c>
      <c r="E77" t="s">
        <v>185</v>
      </c>
    </row>
    <row r="78" spans="1:5" x14ac:dyDescent="0.25">
      <c r="A78" t="s">
        <v>38</v>
      </c>
      <c r="B78" t="s">
        <v>53</v>
      </c>
      <c r="C78" t="s">
        <v>29</v>
      </c>
      <c r="D78" t="str">
        <f>CONCATENATE(A78," ",B78," ","-"," ",C78)</f>
        <v>Centro Médico Sanna - La Molina</v>
      </c>
      <c r="E78" t="s">
        <v>143</v>
      </c>
    </row>
    <row r="79" spans="1:5" x14ac:dyDescent="0.25">
      <c r="A79" t="s">
        <v>38</v>
      </c>
      <c r="B79" t="s">
        <v>53</v>
      </c>
      <c r="C79" t="s">
        <v>20</v>
      </c>
      <c r="D79" t="str">
        <f>CONCATENATE(A79," ",B79," ","-"," ",C79)</f>
        <v>Centro Médico Sanna - Surco</v>
      </c>
      <c r="E79" t="s">
        <v>145</v>
      </c>
    </row>
    <row r="80" spans="1:5" x14ac:dyDescent="0.25">
      <c r="A80" t="s">
        <v>38</v>
      </c>
      <c r="B80" t="s">
        <v>53</v>
      </c>
      <c r="C80" t="s">
        <v>9</v>
      </c>
      <c r="D80" t="str">
        <f>CONCATENATE(A80," ",B80," ","-"," ",C80)</f>
        <v>Centro Médico Sanna - Miraflores</v>
      </c>
      <c r="E80" t="s">
        <v>146</v>
      </c>
    </row>
    <row r="81" spans="1:5" x14ac:dyDescent="0.25">
      <c r="A81" t="s">
        <v>38</v>
      </c>
      <c r="B81" t="s">
        <v>53</v>
      </c>
      <c r="C81" t="s">
        <v>7</v>
      </c>
      <c r="D81" t="str">
        <f>CONCATENATE(A81," ",B81," ","-"," ",C81)</f>
        <v>Centro Médico Sanna - Los Olivos</v>
      </c>
      <c r="E81" t="s">
        <v>156</v>
      </c>
    </row>
    <row r="82" spans="1:5" x14ac:dyDescent="0.25">
      <c r="A82" t="s">
        <v>38</v>
      </c>
      <c r="B82" t="s">
        <v>53</v>
      </c>
      <c r="C82" t="s">
        <v>22</v>
      </c>
      <c r="D82" t="str">
        <f>CONCATENATE(A82," ",B82," ","-"," ",C82)</f>
        <v>Centro Médico Sanna - San Miguel</v>
      </c>
      <c r="E82" t="s">
        <v>157</v>
      </c>
    </row>
    <row r="83" spans="1:5" x14ac:dyDescent="0.25">
      <c r="A83" t="s">
        <v>38</v>
      </c>
      <c r="B83" t="s">
        <v>53</v>
      </c>
      <c r="C83" t="s">
        <v>61</v>
      </c>
      <c r="D83" t="str">
        <f>CONCATENATE(A83," ",B83," ","-"," ",C83)</f>
        <v>Centro Médico Sanna - San Juan de Lurigancho</v>
      </c>
      <c r="E83" t="s">
        <v>158</v>
      </c>
    </row>
    <row r="84" spans="1:5" x14ac:dyDescent="0.25">
      <c r="A84" t="s">
        <v>37</v>
      </c>
      <c r="B84" t="s">
        <v>55</v>
      </c>
      <c r="C84" t="s">
        <v>25</v>
      </c>
      <c r="D84" t="str">
        <f>CONCATENATE(A84," ",B84," ","-"," ",C84)</f>
        <v>Clínica Sanna  - San Borja</v>
      </c>
      <c r="E84" t="s">
        <v>148</v>
      </c>
    </row>
    <row r="85" spans="1:5" x14ac:dyDescent="0.25">
      <c r="A85" t="s">
        <v>37</v>
      </c>
      <c r="B85" t="s">
        <v>50</v>
      </c>
      <c r="C85" t="s">
        <v>25</v>
      </c>
      <c r="D85" t="str">
        <f>CONCATENATE(A85," ",B85," ","-"," ",C85)</f>
        <v>Clínica Santa Isabel - San Borja</v>
      </c>
      <c r="E85" t="s">
        <v>141</v>
      </c>
    </row>
    <row r="86" spans="1:5" x14ac:dyDescent="0.25">
      <c r="A86" t="s">
        <v>37</v>
      </c>
      <c r="B86" t="s">
        <v>70</v>
      </c>
      <c r="C86" t="s">
        <v>11</v>
      </c>
      <c r="D86" t="str">
        <f>CONCATENATE(A86," ",B86," ","-"," ",C86)</f>
        <v>Clínica Santa María - Surquillo</v>
      </c>
      <c r="E86" t="s">
        <v>171</v>
      </c>
    </row>
    <row r="87" spans="1:5" x14ac:dyDescent="0.25">
      <c r="A87" t="s">
        <v>37</v>
      </c>
      <c r="B87" t="s">
        <v>197</v>
      </c>
      <c r="C87" t="s">
        <v>16</v>
      </c>
      <c r="D87" t="str">
        <f>CONCATENATE(A87," ",B87," ","-"," ",C87)</f>
        <v>Clínica Santa Martha del Sur - SJM</v>
      </c>
      <c r="E87" t="s">
        <v>198</v>
      </c>
    </row>
    <row r="88" spans="1:5" x14ac:dyDescent="0.25">
      <c r="A88" t="s">
        <v>38</v>
      </c>
      <c r="B88" t="s">
        <v>100</v>
      </c>
      <c r="C88" t="s">
        <v>13</v>
      </c>
      <c r="D88" t="str">
        <f>CONCATENATE(A88," ",B88," ","-"," ",C88)</f>
        <v>Centro Médico Sormedic - Lima</v>
      </c>
      <c r="E88" t="s">
        <v>194</v>
      </c>
    </row>
    <row r="89" spans="1:5" x14ac:dyDescent="0.25">
      <c r="A89" t="s">
        <v>37</v>
      </c>
      <c r="B89" t="s">
        <v>26</v>
      </c>
      <c r="C89" t="s">
        <v>27</v>
      </c>
      <c r="D89" t="str">
        <f>CONCATENATE(A89," ",B89," ","-"," ",C89)</f>
        <v>Clínica Stella Maris - Pueblo Libre</v>
      </c>
      <c r="E89" t="s">
        <v>112</v>
      </c>
    </row>
    <row r="90" spans="1:5" x14ac:dyDescent="0.25">
      <c r="A90" t="s">
        <v>38</v>
      </c>
      <c r="B90" t="s">
        <v>8</v>
      </c>
      <c r="C90" t="s">
        <v>9</v>
      </c>
      <c r="D90" t="str">
        <f>CONCATENATE(A90," ",B90," ","-"," ",C90)</f>
        <v>Centro Médico Suiza Lab - Miraflores</v>
      </c>
      <c r="E90" t="s">
        <v>121</v>
      </c>
    </row>
    <row r="91" spans="1:5" x14ac:dyDescent="0.25">
      <c r="A91" t="s">
        <v>37</v>
      </c>
      <c r="B91" t="s">
        <v>48</v>
      </c>
      <c r="C91" t="s">
        <v>20</v>
      </c>
      <c r="D91" t="str">
        <f>CONCATENATE(A91," ",B91," ","-"," ",C91)</f>
        <v>Clínica Tezza - Surco</v>
      </c>
      <c r="E91" t="s">
        <v>138</v>
      </c>
    </row>
    <row r="92" spans="1:5" x14ac:dyDescent="0.25">
      <c r="A92" t="s">
        <v>38</v>
      </c>
      <c r="B92" t="s">
        <v>101</v>
      </c>
      <c r="C92" t="s">
        <v>25</v>
      </c>
      <c r="D92" t="str">
        <f>CONCATENATE(A92," ",B92," ","-"," ",C92)</f>
        <v>Centro Médico Urozen - San Borja</v>
      </c>
      <c r="E92" t="s">
        <v>195</v>
      </c>
    </row>
    <row r="93" spans="1:5" x14ac:dyDescent="0.25">
      <c r="A93" t="s">
        <v>37</v>
      </c>
      <c r="B93" t="s">
        <v>62</v>
      </c>
      <c r="C93" t="s">
        <v>63</v>
      </c>
      <c r="D93" t="str">
        <f>CONCATENATE(A93," ",B93," ","-"," ",C93)</f>
        <v>Clínica Versalles - Comas</v>
      </c>
      <c r="E93" t="s">
        <v>159</v>
      </c>
    </row>
    <row r="94" spans="1:5" x14ac:dyDescent="0.25">
      <c r="A94" t="s">
        <v>37</v>
      </c>
      <c r="B94" t="s">
        <v>24</v>
      </c>
      <c r="C94" t="s">
        <v>25</v>
      </c>
      <c r="D94" t="str">
        <f>CONCATENATE(A94," ",B94," ","-"," ",C94)</f>
        <v>Clínica Vesalio - San Borja</v>
      </c>
      <c r="E94" t="s">
        <v>111</v>
      </c>
    </row>
    <row r="95" spans="1:5" x14ac:dyDescent="0.25">
      <c r="A95" t="s">
        <v>37</v>
      </c>
      <c r="B95" t="s">
        <v>66</v>
      </c>
      <c r="C95" t="s">
        <v>45</v>
      </c>
      <c r="D95" t="str">
        <f>CONCATENATE(A95," ",B95," ","-"," ",C95)</f>
        <v>Clínica Virgen del Rosario - Magdalena</v>
      </c>
      <c r="E95" t="s">
        <v>162</v>
      </c>
    </row>
    <row r="96" spans="1:5" x14ac:dyDescent="0.25">
      <c r="A96" t="s">
        <v>38</v>
      </c>
      <c r="B96" t="s">
        <v>58</v>
      </c>
      <c r="C96" t="s">
        <v>20</v>
      </c>
      <c r="D96" t="str">
        <f>CONCATENATE(A96," ",B96," ","-"," ",C96)</f>
        <v>Centro Médico San Felipe - Surco</v>
      </c>
      <c r="E96" t="s">
        <v>199</v>
      </c>
    </row>
    <row r="97" spans="1:5" x14ac:dyDescent="0.25">
      <c r="A97" t="s">
        <v>38</v>
      </c>
      <c r="B97" t="s">
        <v>201</v>
      </c>
      <c r="C97" t="s">
        <v>202</v>
      </c>
      <c r="D97" t="str">
        <f>CONCATENATE(A97," ",B97," ","-"," ",C97)</f>
        <v>Centro Médico SBC Medic - Barranco</v>
      </c>
      <c r="E97" t="s">
        <v>203</v>
      </c>
    </row>
  </sheetData>
  <autoFilter ref="A1:E96" xr:uid="{E645E774-ABFE-47B0-B4F5-4CF33AFF6ECE}">
    <sortState xmlns:xlrd2="http://schemas.microsoft.com/office/spreadsheetml/2017/richdata2" ref="A2:E95">
      <sortCondition ref="B1:B9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Yaranga</dc:creator>
  <cp:lastModifiedBy>Jose Yaranga</cp:lastModifiedBy>
  <dcterms:created xsi:type="dcterms:W3CDTF">2026-09-10T18:03:59Z</dcterms:created>
  <dcterms:modified xsi:type="dcterms:W3CDTF">2026-09-16T21:56:44Z</dcterms:modified>
</cp:coreProperties>
</file>